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028"/>
  <workbookPr showInkAnnotation="0" autoCompressPictures="0"/>
  <mc:AlternateContent xmlns:mc="http://schemas.openxmlformats.org/markup-compatibility/2006">
    <mc:Choice Requires="x15">
      <x15ac:absPath xmlns:x15ac="http://schemas.microsoft.com/office/spreadsheetml/2010/11/ac" url="/Users/aedwards/ae/Teach/202508/2740/251201_A8_XULA/Blizzards/"/>
    </mc:Choice>
  </mc:AlternateContent>
  <xr:revisionPtr revIDLastSave="0" documentId="8_{9CA14C0F-00BB-434D-B45A-714958381BF3}" xr6:coauthVersionLast="47" xr6:coauthVersionMax="47" xr10:uidLastSave="{00000000-0000-0000-0000-000000000000}"/>
  <bookViews>
    <workbookView xWindow="0" yWindow="660" windowWidth="23260" windowHeight="12460" tabRatio="500" xr2:uid="{00000000-000D-0000-FFFF-FFFF00000000}"/>
  </bookViews>
  <sheets>
    <sheet name="Blizzards" sheetId="10" r:id="rId1"/>
    <sheet name="-Disclaimer-" sheetId="2" r:id="rId2"/>
  </sheets>
  <definedNames>
    <definedName name="_xlnm.Print_Area" localSheetId="0">Blizzards!$B$1:$I$65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xmlns:mx="http://schemas.microsoft.com/office/mac/excel/2008/main" uri="{7523E5D3-25F3-A5E0-1632-64F254C22452}">
      <mx:ArchID Flags="2"/>
    </ext>
  </extLst>
</workbook>
</file>

<file path=xl/calcChain.xml><?xml version="1.0" encoding="utf-8"?>
<calcChain xmlns="http://schemas.openxmlformats.org/spreadsheetml/2006/main">
  <c r="H9" i="10" l="1"/>
  <c r="H20" i="10"/>
  <c r="H21" i="10"/>
  <c r="H23" i="10"/>
  <c r="H34" i="10"/>
  <c r="H35" i="10"/>
  <c r="H37" i="10"/>
  <c r="H48" i="10"/>
  <c r="H49" i="10"/>
  <c r="H51" i="10"/>
  <c r="H63" i="10"/>
  <c r="G50" i="10" l="1"/>
  <c r="F50" i="10"/>
  <c r="G22" i="10"/>
  <c r="F22" i="10"/>
  <c r="F36" i="10"/>
  <c r="G36" i="10"/>
  <c r="G8" i="10"/>
  <c r="F8" i="10"/>
  <c r="H5" i="10"/>
  <c r="H50" i="10" l="1"/>
  <c r="H22" i="10"/>
  <c r="H36" i="10"/>
  <c r="H8" i="10"/>
</calcChain>
</file>

<file path=xl/sharedStrings.xml><?xml version="1.0" encoding="utf-8"?>
<sst xmlns="http://schemas.openxmlformats.org/spreadsheetml/2006/main" count="95" uniqueCount="61">
  <si>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</si>
  <si>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</si>
  <si>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</si>
  <si>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</si>
  <si>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</si>
  <si>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</si>
  <si>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</si>
  <si>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</si>
  <si>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</si>
  <si>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</si>
  <si>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</si>
  <si>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</si>
  <si>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</si>
  <si>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</si>
  <si>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Study Buddies</t>
  </si>
  <si>
    <t>Alina (Designer), Lonzo (Tester), Robin (Lead), Samuel (SWE)</t>
  </si>
  <si>
    <t>Alina</t>
  </si>
  <si>
    <t>Lonzo</t>
  </si>
  <si>
    <t>Robin</t>
  </si>
  <si>
    <t>Samuel</t>
  </si>
  <si>
    <t>Use Cases</t>
  </si>
  <si>
    <t>Nov 26th: 6 commits, +91, -10</t>
  </si>
  <si>
    <t>Nov 26th: 29 commits, +483, -163</t>
  </si>
  <si>
    <t>Nov 26th: 36 commits, +337, -250</t>
  </si>
  <si>
    <t>Nov 26th: 30 commits, +461, -122</t>
  </si>
  <si>
    <t>Evaluate team using Brightspace survey</t>
  </si>
  <si>
    <t xml:space="preserve">Evaluate Dr. Edwards via Class Climate </t>
  </si>
  <si>
    <t>Blizzards Statement of Work</t>
  </si>
  <si>
    <t>SHA 0228979, 837cc5e</t>
  </si>
  <si>
    <t>SHA 45ab501, fe680ac</t>
  </si>
  <si>
    <r>
      <rPr>
        <sz val="11"/>
        <color rgb="FFFF0000"/>
        <rFont val="Century Gothic"/>
        <family val="1"/>
      </rPr>
      <t>#</t>
    </r>
    <r>
      <rPr>
        <sz val="11"/>
        <color theme="1"/>
        <rFont val="Century Gothic"/>
        <family val="1"/>
      </rPr>
      <t xml:space="preserve"> Update README with 6 numbered, prioritized projects</t>
    </r>
  </si>
  <si>
    <r>
      <rPr>
        <sz val="11"/>
        <color rgb="FFFF0000"/>
        <rFont val="Century Gothic"/>
        <family val="1"/>
      </rPr>
      <t>#</t>
    </r>
    <r>
      <rPr>
        <sz val="11"/>
        <color theme="1"/>
        <rFont val="Century Gothic"/>
        <family val="1"/>
      </rPr>
      <t xml:space="preserve"> Add pytest unit tests for Profile, Schedule, Session, Flashcards, etc.</t>
    </r>
  </si>
  <si>
    <t>SHA d926e23, 10b580f</t>
  </si>
  <si>
    <r>
      <rPr>
        <sz val="11"/>
        <color rgb="FFFF0000"/>
        <rFont val="Century Gothic"/>
        <family val="1"/>
      </rPr>
      <t>#</t>
    </r>
    <r>
      <rPr>
        <sz val="11"/>
        <color theme="1"/>
        <rFont val="Century Gothic"/>
        <family val="1"/>
      </rPr>
      <t xml:space="preserve"> create AutoCancelJob, FlashcardGenerator, InviteLogic, Profile, StudySession classes</t>
    </r>
  </si>
  <si>
    <t>SHA 1601da9, 4ef802, 3d45638</t>
  </si>
  <si>
    <r>
      <rPr>
        <sz val="11"/>
        <color rgb="FFFF0000"/>
        <rFont val="Century Gothic"/>
        <family val="1"/>
      </rPr>
      <t>#</t>
    </r>
    <r>
      <rPr>
        <sz val="11"/>
        <color theme="1"/>
        <rFont val="Century Gothic"/>
        <family val="1"/>
      </rPr>
      <t xml:space="preserve"> Create profile display, schedule input, and schedule display designs</t>
    </r>
  </si>
  <si>
    <t>What is this use case's user story number?  If no user story, make sure you add this as a user story in our final sprint.</t>
  </si>
  <si>
    <t>https://www.smartsheet.com/top-project-management-excel-templates?srsltid=AfmBOorM8KTqo0GkEazFKhVFp3ozfOh-BifeI1KKxQxM0WpR5p08gBRL</t>
  </si>
  <si>
    <t>Project Development Team</t>
  </si>
  <si>
    <t>Completed</t>
  </si>
  <si>
    <t>59, 60, 62, 63, 64</t>
  </si>
  <si>
    <t>60–63</t>
  </si>
  <si>
    <t>Update Event class formatting</t>
  </si>
  <si>
    <t>34a0610</t>
  </si>
  <si>
    <t>d926e23, 10b580f</t>
  </si>
  <si>
    <t>d130e29</t>
  </si>
  <si>
    <t>3920b64</t>
  </si>
  <si>
    <t>cbbe4db</t>
  </si>
  <si>
    <t>a0e2d64</t>
  </si>
  <si>
    <t>#Finish MMP driver</t>
  </si>
  <si>
    <t>#Merge smaxey_base to main with no conflicts</t>
  </si>
  <si>
    <t>#Sync Blizzards branch with upstream</t>
  </si>
  <si>
    <t>#Add Study Buddy App Menu</t>
  </si>
  <si>
    <r>
      <rPr>
        <i/>
        <sz val="11"/>
        <color theme="1"/>
        <rFont val="Century Gothic"/>
        <family val="2"/>
      </rPr>
      <t>#</t>
    </r>
    <r>
      <rPr>
        <sz val="11"/>
        <color theme="1"/>
        <rFont val="Century Gothic"/>
        <family val="1"/>
      </rPr>
      <t>Test mmp_driver.py</t>
    </r>
  </si>
  <si>
    <t>#Implement initial MMP driver logic</t>
  </si>
  <si>
    <t>#Update StudySession class</t>
  </si>
  <si>
    <t>#Update user_profile.py</t>
  </si>
  <si>
    <t>#Create smaxey_base branch</t>
  </si>
  <si>
    <t>bdc4f75</t>
  </si>
  <si>
    <t>10b580f</t>
  </si>
  <si>
    <t>8c81819</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</si>
</sst>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1"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i/>
      <sz val="11"/>
      <color theme="1"/>
      <name val="Century Gothic"/>
      <family val="2"/>
    </font>
    <font>
      <sz val="11"/>
      <color theme="1"/>
      <name val="Century Gothic"/>
      <family val="2"/>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0">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20" fillId="0" borderId="1" xfId="0" applyFont="1" applyBorder="1" applyAlignment="1">
      <alignment horizontal="left" vertical="center" wrapText="1" indent="2"/>
    </xf>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Blizzards!$F$7</c:f>
              <c:strCache>
                <c:ptCount val="1"/>
                <c:pt idx="0">
                  <c:v>Start Date</c:v>
                </c:pt>
              </c:strCache>
            </c:strRef>
          </c:tx>
          <c:spPr>
            <a:noFill/>
            <a:ln>
              <a:noFill/>
            </a:ln>
            <a:effectLst/>
          </c:spPr>
          <c:invertIfNegative val="0"/>
          <c:cat>
            <c:strRef>
              <c:f>Blizzards!$C$8:$C$63</c:f>
              <c:strCache>
                <c:ptCount val="56"/>
                <c:pt idx="0">
                  <c:v>Alina</c:v>
                </c:pt>
                <c:pt idx="1">
                  <c:v># Create profile display, schedule input, and schedule display designs</c:v>
                </c:pt>
                <c:pt idx="12">
                  <c:v>Evaluate Dr. Edwards via Class Climate </c:v>
                </c:pt>
                <c:pt idx="13">
                  <c:v>Evaluate team using Brightspace survey</c:v>
                </c:pt>
                <c:pt idx="14">
                  <c:v>Lonzo</c:v>
                </c:pt>
                <c:pt idx="15">
                  <c:v># Add pytest unit tests for Profile, Schedule, Session, Flashcards, etc.</c:v>
                </c:pt>
                <c:pt idx="26">
                  <c:v>Evaluate Dr. Edwards via Class Climate </c:v>
                </c:pt>
                <c:pt idx="27">
                  <c:v>Evaluate team using Brightspace survey</c:v>
                </c:pt>
                <c:pt idx="28">
                  <c:v>Robin</c:v>
                </c:pt>
                <c:pt idx="29">
                  <c:v># Update README with 6 numbered, prioritized projects</c:v>
                </c:pt>
                <c:pt idx="40">
                  <c:v>Evaluate Dr. Edwards via Class Climate </c:v>
                </c:pt>
                <c:pt idx="41">
                  <c:v>Evaluate team using Brightspace survey</c:v>
                </c:pt>
                <c:pt idx="42">
                  <c:v>Samuel</c:v>
                </c:pt>
                <c:pt idx="43">
                  <c:v># create AutoCancelJob, FlashcardGenerator, InviteLogic, Profile, StudySession classes</c:v>
                </c:pt>
                <c:pt idx="44">
                  <c:v>#Finish MMP driver</c:v>
                </c:pt>
                <c:pt idx="45">
                  <c:v>#Merge smaxey_base to main with no conflicts</c:v>
                </c:pt>
                <c:pt idx="46">
                  <c:v>#Sync Blizzards branch with upstream</c:v>
                </c:pt>
                <c:pt idx="47">
                  <c:v>#Add Study Buddy App Menu</c:v>
                </c:pt>
                <c:pt idx="48">
                  <c:v>#Test mmp_driver.py</c:v>
                </c:pt>
                <c:pt idx="49">
                  <c:v>#Implement initial MMP driver logic</c:v>
                </c:pt>
                <c:pt idx="50">
                  <c:v>#Update StudySession class</c:v>
                </c:pt>
                <c:pt idx="51">
                  <c:v>#Update user_profile.py</c:v>
                </c:pt>
                <c:pt idx="52">
                  <c:v>#Create smaxey_base branch</c:v>
                </c:pt>
                <c:pt idx="53">
                  <c:v>Update Event class formatting</c:v>
                </c:pt>
                <c:pt idx="54">
                  <c:v>Evaluate Dr. Edwards via Class Climate </c:v>
                </c:pt>
                <c:pt idx="55">
                  <c:v>Evaluate team using Brightspace survey</c:v>
                </c:pt>
              </c:strCache>
            </c:strRef>
          </c:cat>
          <c:val>
            <c:numRef>
              <c:f>Blizzards!$F$8:$F$63</c:f>
              <c:numCache>
                <c:formatCode>m/d;@</c:formatCode>
                <c:ptCount val="56"/>
                <c:pt idx="0">
                  <c:v>45983</c:v>
                </c:pt>
                <c:pt idx="1">
                  <c:v>45983</c:v>
                </c:pt>
                <c:pt idx="12">
                  <c:v>45983</c:v>
                </c:pt>
                <c:pt idx="13">
                  <c:v>45992</c:v>
                </c:pt>
                <c:pt idx="14">
                  <c:v>45978</c:v>
                </c:pt>
                <c:pt idx="15">
                  <c:v>45978</c:v>
                </c:pt>
                <c:pt idx="26">
                  <c:v>45983</c:v>
                </c:pt>
                <c:pt idx="27">
                  <c:v>45992</c:v>
                </c:pt>
                <c:pt idx="28">
                  <c:v>45983</c:v>
                </c:pt>
                <c:pt idx="29">
                  <c:v>45986</c:v>
                </c:pt>
                <c:pt idx="40">
                  <c:v>45983</c:v>
                </c:pt>
                <c:pt idx="41">
                  <c:v>45992</c:v>
                </c:pt>
                <c:pt idx="42">
                  <c:v>45978</c:v>
                </c:pt>
                <c:pt idx="43">
                  <c:v>45978</c:v>
                </c:pt>
                <c:pt idx="44">
                  <c:v>45992</c:v>
                </c:pt>
                <c:pt idx="46">
                  <c:v>45991</c:v>
                </c:pt>
                <c:pt idx="47">
                  <c:v>45988</c:v>
                </c:pt>
                <c:pt idx="48">
                  <c:v>45988</c:v>
                </c:pt>
                <c:pt idx="49">
                  <c:v>45987</c:v>
                </c:pt>
                <c:pt idx="50">
                  <c:v>45986</c:v>
                </c:pt>
                <c:pt idx="51">
                  <c:v>45986</c:v>
                </c:pt>
                <c:pt idx="52">
                  <c:v>45983</c:v>
                </c:pt>
                <c:pt idx="53">
                  <c:v>45983</c:v>
                </c:pt>
                <c:pt idx="54">
                  <c:v>45983</c:v>
                </c:pt>
                <c:pt idx="55">
                  <c:v>45992</c:v>
                </c:pt>
              </c:numCache>
            </c:numRef>
          </c:val>
          <c:extLst>
            <c:ext xmlns:c16="http://schemas.microsoft.com/office/drawing/2014/chart" uri="{C3380CC4-5D6E-409C-BE32-E72D297353CC}">
              <c16:uniqueId val="{00000000-8C3B-6B4E-8271-047982C56358}"/>
            </c:ext>
          </c:extLst>
        </c:ser>
        <c:ser>
          <c:idx val="1"/>
          <c:order val="1"/>
          <c:tx>
            <c:strRef>
              <c:f>Blizzards!$H$7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Blizzards!$C$8:$C$63</c:f>
              <c:strCache>
                <c:ptCount val="56"/>
                <c:pt idx="0">
                  <c:v>Alina</c:v>
                </c:pt>
                <c:pt idx="1">
                  <c:v># Create profile display, schedule input, and schedule display designs</c:v>
                </c:pt>
                <c:pt idx="12">
                  <c:v>Evaluate Dr. Edwards via Class Climate </c:v>
                </c:pt>
                <c:pt idx="13">
                  <c:v>Evaluate team using Brightspace survey</c:v>
                </c:pt>
                <c:pt idx="14">
                  <c:v>Lonzo</c:v>
                </c:pt>
                <c:pt idx="15">
                  <c:v># Add pytest unit tests for Profile, Schedule, Session, Flashcards, etc.</c:v>
                </c:pt>
                <c:pt idx="26">
                  <c:v>Evaluate Dr. Edwards via Class Climate </c:v>
                </c:pt>
                <c:pt idx="27">
                  <c:v>Evaluate team using Brightspace survey</c:v>
                </c:pt>
                <c:pt idx="28">
                  <c:v>Robin</c:v>
                </c:pt>
                <c:pt idx="29">
                  <c:v># Update README with 6 numbered, prioritized projects</c:v>
                </c:pt>
                <c:pt idx="40">
                  <c:v>Evaluate Dr. Edwards via Class Climate </c:v>
                </c:pt>
                <c:pt idx="41">
                  <c:v>Evaluate team using Brightspace survey</c:v>
                </c:pt>
                <c:pt idx="42">
                  <c:v>Samuel</c:v>
                </c:pt>
                <c:pt idx="43">
                  <c:v># create AutoCancelJob, FlashcardGenerator, InviteLogic, Profile, StudySession classes</c:v>
                </c:pt>
                <c:pt idx="44">
                  <c:v>#Finish MMP driver</c:v>
                </c:pt>
                <c:pt idx="45">
                  <c:v>#Merge smaxey_base to main with no conflicts</c:v>
                </c:pt>
                <c:pt idx="46">
                  <c:v>#Sync Blizzards branch with upstream</c:v>
                </c:pt>
                <c:pt idx="47">
                  <c:v>#Add Study Buddy App Menu</c:v>
                </c:pt>
                <c:pt idx="48">
                  <c:v>#Test mmp_driver.py</c:v>
                </c:pt>
                <c:pt idx="49">
                  <c:v>#Implement initial MMP driver logic</c:v>
                </c:pt>
                <c:pt idx="50">
                  <c:v>#Update StudySession class</c:v>
                </c:pt>
                <c:pt idx="51">
                  <c:v>#Update user_profile.py</c:v>
                </c:pt>
                <c:pt idx="52">
                  <c:v>#Create smaxey_base branch</c:v>
                </c:pt>
                <c:pt idx="53">
                  <c:v>Update Event class formatting</c:v>
                </c:pt>
                <c:pt idx="54">
                  <c:v>Evaluate Dr. Edwards via Class Climate </c:v>
                </c:pt>
                <c:pt idx="55">
                  <c:v>Evaluate team using Brightspace survey</c:v>
                </c:pt>
              </c:strCache>
            </c:strRef>
          </c:cat>
          <c:val>
            <c:numRef>
              <c:f>Blizzards!$H$8:$H$63</c:f>
              <c:numCache>
                <c:formatCode>0</c:formatCode>
                <c:ptCount val="56"/>
                <c:pt idx="0">
                  <c:v>17</c:v>
                </c:pt>
                <c:pt idx="1">
                  <c:v>17</c:v>
                </c:pt>
                <c:pt idx="12">
                  <c:v>17</c:v>
                </c:pt>
                <c:pt idx="13">
                  <c:v>1</c:v>
                </c:pt>
                <c:pt idx="14">
                  <c:v>22</c:v>
                </c:pt>
                <c:pt idx="15">
                  <c:v>1</c:v>
                </c:pt>
                <c:pt idx="26">
                  <c:v>17</c:v>
                </c:pt>
                <c:pt idx="27">
                  <c:v>1</c:v>
                </c:pt>
                <c:pt idx="28" formatCode="General">
                  <c:v>17</c:v>
                </c:pt>
                <c:pt idx="29">
                  <c:v>1</c:v>
                </c:pt>
                <c:pt idx="40">
                  <c:v>17</c:v>
                </c:pt>
                <c:pt idx="41">
                  <c:v>1</c:v>
                </c:pt>
                <c:pt idx="42" formatCode="General">
                  <c:v>22</c:v>
                </c:pt>
                <c:pt idx="43">
                  <c:v>1</c:v>
                </c:pt>
                <c:pt idx="44">
                  <c:v>1</c:v>
                </c:pt>
                <c:pt idx="46">
                  <c:v>2</c:v>
                </c:pt>
                <c:pt idx="47">
                  <c:v>1</c:v>
                </c:pt>
                <c:pt idx="48">
                  <c:v>2</c:v>
                </c:pt>
                <c:pt idx="49">
                  <c:v>1</c:v>
                </c:pt>
                <c:pt idx="50">
                  <c:v>1</c:v>
                </c:pt>
                <c:pt idx="51">
                  <c:v>3</c:v>
                </c:pt>
                <c:pt idx="52">
                  <c:v>1</c:v>
                </c:pt>
                <c:pt idx="53">
                  <c:v>1</c:v>
                </c:pt>
                <c:pt idx="55">
                  <c:v>1</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 Id="rId5" Type="http://schemas.openxmlformats.org/officeDocument/2006/relationships/image" Target="../media/image4.png"/><Relationship Id="rId4"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622300</xdr:colOff>
      <xdr:row>14</xdr:row>
      <xdr:rowOff>63500</xdr:rowOff>
    </xdr:from>
    <xdr:to>
      <xdr:col>21</xdr:col>
      <xdr:colOff>12700</xdr:colOff>
      <xdr:row>19</xdr:row>
      <xdr:rowOff>101600</xdr:rowOff>
    </xdr:to>
    <xdr:pic>
      <xdr:nvPicPr>
        <xdr:cNvPr id="3" name="Picture 2">
          <a:extLst>
            <a:ext uri="{FF2B5EF4-FFF2-40B4-BE49-F238E27FC236}">
              <a16:creationId xmlns:a16="http://schemas.microsoft.com/office/drawing/2014/main" id="{36165626-95D0-D246-A10B-8A932F5B0EE4}"/>
            </a:ext>
          </a:extLst>
        </xdr:cNvPr>
        <xdr:cNvPicPr>
          <a:picLocks noChangeAspect="1"/>
        </xdr:cNvPicPr>
      </xdr:nvPicPr>
      <xdr:blipFill>
        <a:blip xmlns:r="http://schemas.openxmlformats.org/officeDocument/2006/relationships" r:embed="rId2"/>
        <a:stretch>
          <a:fillRect/>
        </a:stretch>
      </xdr:blipFill>
      <xdr:spPr>
        <a:xfrm>
          <a:off x="16167100" y="3886200"/>
          <a:ext cx="7620000" cy="1625600"/>
        </a:xfrm>
        <a:prstGeom prst="rect">
          <a:avLst/>
        </a:prstGeom>
      </xdr:spPr>
    </xdr:pic>
    <xdr:clientData/>
  </xdr:twoCellAnchor>
  <xdr:twoCellAnchor editAs="oneCell">
    <xdr:from>
      <xdr:col>11</xdr:col>
      <xdr:colOff>622300</xdr:colOff>
      <xdr:row>39</xdr:row>
      <xdr:rowOff>76200</xdr:rowOff>
    </xdr:from>
    <xdr:to>
      <xdr:col>21</xdr:col>
      <xdr:colOff>12700</xdr:colOff>
      <xdr:row>44</xdr:row>
      <xdr:rowOff>114300</xdr:rowOff>
    </xdr:to>
    <xdr:pic>
      <xdr:nvPicPr>
        <xdr:cNvPr id="4" name="Picture 3">
          <a:extLst>
            <a:ext uri="{FF2B5EF4-FFF2-40B4-BE49-F238E27FC236}">
              <a16:creationId xmlns:a16="http://schemas.microsoft.com/office/drawing/2014/main" id="{7D161921-8BA7-604C-B375-2496F134509B}"/>
            </a:ext>
          </a:extLst>
        </xdr:cNvPr>
        <xdr:cNvPicPr>
          <a:picLocks noChangeAspect="1"/>
        </xdr:cNvPicPr>
      </xdr:nvPicPr>
      <xdr:blipFill>
        <a:blip xmlns:r="http://schemas.openxmlformats.org/officeDocument/2006/relationships" r:embed="rId3"/>
        <a:stretch>
          <a:fillRect/>
        </a:stretch>
      </xdr:blipFill>
      <xdr:spPr>
        <a:xfrm>
          <a:off x="16167100" y="10883900"/>
          <a:ext cx="7620000" cy="1625600"/>
        </a:xfrm>
        <a:prstGeom prst="rect">
          <a:avLst/>
        </a:prstGeom>
      </xdr:spPr>
    </xdr:pic>
    <xdr:clientData/>
  </xdr:twoCellAnchor>
  <xdr:twoCellAnchor editAs="oneCell">
    <xdr:from>
      <xdr:col>11</xdr:col>
      <xdr:colOff>635000</xdr:colOff>
      <xdr:row>28</xdr:row>
      <xdr:rowOff>88900</xdr:rowOff>
    </xdr:from>
    <xdr:to>
      <xdr:col>21</xdr:col>
      <xdr:colOff>25400</xdr:colOff>
      <xdr:row>33</xdr:row>
      <xdr:rowOff>127000</xdr:rowOff>
    </xdr:to>
    <xdr:pic>
      <xdr:nvPicPr>
        <xdr:cNvPr id="5" name="Picture 4">
          <a:extLst>
            <a:ext uri="{FF2B5EF4-FFF2-40B4-BE49-F238E27FC236}">
              <a16:creationId xmlns:a16="http://schemas.microsoft.com/office/drawing/2014/main" id="{9B76232B-94BB-9743-92E1-3F0E30D7DCEA}"/>
            </a:ext>
          </a:extLst>
        </xdr:cNvPr>
        <xdr:cNvPicPr>
          <a:picLocks noChangeAspect="1"/>
        </xdr:cNvPicPr>
      </xdr:nvPicPr>
      <xdr:blipFill>
        <a:blip xmlns:r="http://schemas.openxmlformats.org/officeDocument/2006/relationships" r:embed="rId4"/>
        <a:stretch>
          <a:fillRect/>
        </a:stretch>
      </xdr:blipFill>
      <xdr:spPr>
        <a:xfrm>
          <a:off x="16179800" y="7404100"/>
          <a:ext cx="7620000" cy="1625600"/>
        </a:xfrm>
        <a:prstGeom prst="rect">
          <a:avLst/>
        </a:prstGeom>
      </xdr:spPr>
    </xdr:pic>
    <xdr:clientData/>
  </xdr:twoCellAnchor>
  <xdr:twoCellAnchor editAs="oneCell">
    <xdr:from>
      <xdr:col>11</xdr:col>
      <xdr:colOff>622300</xdr:colOff>
      <xdr:row>53</xdr:row>
      <xdr:rowOff>63500</xdr:rowOff>
    </xdr:from>
    <xdr:to>
      <xdr:col>21</xdr:col>
      <xdr:colOff>12700</xdr:colOff>
      <xdr:row>58</xdr:row>
      <xdr:rowOff>101600</xdr:rowOff>
    </xdr:to>
    <xdr:pic>
      <xdr:nvPicPr>
        <xdr:cNvPr id="6" name="Picture 5">
          <a:extLst>
            <a:ext uri="{FF2B5EF4-FFF2-40B4-BE49-F238E27FC236}">
              <a16:creationId xmlns:a16="http://schemas.microsoft.com/office/drawing/2014/main" id="{78C6949F-A0CC-FD46-B6A9-5AC1A52FFDC9}"/>
            </a:ext>
          </a:extLst>
        </xdr:cNvPr>
        <xdr:cNvPicPr>
          <a:picLocks noChangeAspect="1"/>
        </xdr:cNvPicPr>
      </xdr:nvPicPr>
      <xdr:blipFill>
        <a:blip xmlns:r="http://schemas.openxmlformats.org/officeDocument/2006/relationships" r:embed="rId5"/>
        <a:stretch>
          <a:fillRect/>
        </a:stretch>
      </xdr:blipFill>
      <xdr:spPr>
        <a:xfrm>
          <a:off x="16167100" y="143637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topLeftCell="B1" workbookViewId="0">
      <pane ySplit="1" topLeftCell="A52" activePane="bottomLeft" state="frozen"/>
      <selection pane="bottomLeft" activeCell="H1" sqref="H1"/>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1.66406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27</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14</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38</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15</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20</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16</v>
      </c>
      <c r="D8" s="25"/>
      <c r="E8" s="25"/>
      <c r="F8" s="64">
        <f>MIN(F9:F21)</f>
        <v>45983</v>
      </c>
      <c r="G8" s="65">
        <f>MAX(G9:G21)</f>
        <v>45999</v>
      </c>
      <c r="H8" s="66">
        <f>IF(F8=0,0,G8-F8)+1</f>
        <v>17</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30" outlineLevel="1" x14ac:dyDescent="0.2">
      <c r="A9" s="8"/>
      <c r="B9" s="2"/>
      <c r="C9" s="14" t="s">
        <v>35</v>
      </c>
      <c r="D9" s="3" t="s">
        <v>3</v>
      </c>
      <c r="E9" s="4" t="s">
        <v>34</v>
      </c>
      <c r="F9" s="40">
        <v>45983</v>
      </c>
      <c r="G9" s="40">
        <v>45999</v>
      </c>
      <c r="H9" s="45">
        <f t="shared" ref="H9:H51" si="0">IF(OR(F9=0, ISBLANK(F9)),0,G9-F9+1)</f>
        <v>17</v>
      </c>
      <c r="I9" s="78" t="s">
        <v>36</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21</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26</v>
      </c>
      <c r="D20" s="3" t="s">
        <v>4</v>
      </c>
      <c r="E20" s="13"/>
      <c r="F20" s="40">
        <v>45983</v>
      </c>
      <c r="G20" s="40">
        <v>45999</v>
      </c>
      <c r="H20" s="45">
        <f t="shared" si="0"/>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25</v>
      </c>
      <c r="D21" s="15" t="s">
        <v>4</v>
      </c>
      <c r="E21" s="17"/>
      <c r="F21" s="42">
        <v>45992</v>
      </c>
      <c r="G21" s="43">
        <v>45992</v>
      </c>
      <c r="H21" s="45">
        <f t="shared" si="0"/>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17</v>
      </c>
      <c r="D22" s="57"/>
      <c r="E22" s="58"/>
      <c r="F22" s="59">
        <f>MIN(F23:F35)</f>
        <v>45978</v>
      </c>
      <c r="G22" s="60">
        <f>MAX(G23:G35)</f>
        <v>45999</v>
      </c>
      <c r="H22" s="76">
        <f t="shared" si="0"/>
        <v>22</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30" outlineLevel="1" x14ac:dyDescent="0.15">
      <c r="A23" s="8"/>
      <c r="B23" s="2"/>
      <c r="C23" s="14" t="s">
        <v>31</v>
      </c>
      <c r="D23" s="3" t="s">
        <v>3</v>
      </c>
      <c r="E23" s="13" t="s">
        <v>29</v>
      </c>
      <c r="F23" s="40">
        <v>45978</v>
      </c>
      <c r="G23" s="40">
        <v>45978</v>
      </c>
      <c r="H23" s="46">
        <f t="shared" si="0"/>
        <v>1</v>
      </c>
      <c r="I23" s="78" t="s">
        <v>36</v>
      </c>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c r="D24" s="3"/>
      <c r="E24" s="13"/>
      <c r="F24" s="40"/>
      <c r="G24" s="40"/>
      <c r="H24" s="46"/>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c r="D25" s="3"/>
      <c r="E25" s="13"/>
      <c r="F25" s="40"/>
      <c r="G25" s="40"/>
      <c r="H25" s="46"/>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c r="D26" s="3"/>
      <c r="E26" s="13"/>
      <c r="F26" s="40"/>
      <c r="G26" s="40"/>
      <c r="H26" s="46"/>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c r="D27" s="3"/>
      <c r="E27" s="13"/>
      <c r="F27" s="40"/>
      <c r="G27" s="40"/>
      <c r="H27" s="46"/>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c r="D28" s="3"/>
      <c r="E28" s="13"/>
      <c r="F28" s="40"/>
      <c r="G28" s="40"/>
      <c r="H28" s="46"/>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c r="D29" s="3"/>
      <c r="E29" s="13"/>
      <c r="F29" s="40"/>
      <c r="G29" s="40"/>
      <c r="H29" s="46"/>
      <c r="I29" s="2"/>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c r="D30" s="3"/>
      <c r="E30" s="13"/>
      <c r="F30" s="40"/>
      <c r="G30" s="40"/>
      <c r="H30" s="46"/>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22</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26</v>
      </c>
      <c r="D34" s="3" t="s">
        <v>4</v>
      </c>
      <c r="E34" s="13"/>
      <c r="F34" s="40">
        <v>45983</v>
      </c>
      <c r="G34" s="40">
        <v>45999</v>
      </c>
      <c r="H34" s="46">
        <f t="shared" si="0"/>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25</v>
      </c>
      <c r="D35" s="15" t="s">
        <v>4</v>
      </c>
      <c r="E35" s="17"/>
      <c r="F35" s="42">
        <v>45992</v>
      </c>
      <c r="G35" s="43">
        <v>45992</v>
      </c>
      <c r="H35" s="46">
        <f t="shared" si="0"/>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18</v>
      </c>
      <c r="D36" s="49"/>
      <c r="E36" s="50"/>
      <c r="F36" s="51">
        <f>MIN(F37:F49)</f>
        <v>45983</v>
      </c>
      <c r="G36" s="52">
        <f>MAX(G37:G49)</f>
        <v>45999</v>
      </c>
      <c r="H36" s="75">
        <f t="shared" si="0"/>
        <v>17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28" customHeight="1" outlineLevel="1" x14ac:dyDescent="0.15">
      <c r="A37" s="8"/>
      <c r="B37" s="2"/>
      <c r="C37" s="14" t="s">
        <v>30</v>
      </c>
      <c r="D37" s="3" t="s">
        <v>3</v>
      </c>
      <c r="E37" s="12" t="s">
        <v>28</v>
      </c>
      <c r="F37" s="40">
        <v>45986</v>
      </c>
      <c r="G37" s="41">
        <v>45986</v>
      </c>
      <c r="H37" s="77">
        <f t="shared" si="0"/>
        <v>1</v>
      </c>
      <c r="I37" s="78" t="s">
        <v>36</v>
      </c>
      <c r="J37" s="8"/>
      <c r="K37" s="1"/>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c r="D38" s="3"/>
      <c r="E38" s="12"/>
      <c r="F38" s="40"/>
      <c r="G38" s="40"/>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c r="D39" s="3"/>
      <c r="E39" s="12"/>
      <c r="F39" s="40"/>
      <c r="G39" s="40"/>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c r="D40" s="3"/>
      <c r="E40" s="12"/>
      <c r="F40" s="40"/>
      <c r="G40" s="40"/>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t="s">
        <v>23</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26</v>
      </c>
      <c r="D48" s="3" t="s">
        <v>4</v>
      </c>
      <c r="E48" s="13"/>
      <c r="F48" s="40">
        <v>45983</v>
      </c>
      <c r="G48" s="40">
        <v>45999</v>
      </c>
      <c r="H48" s="77">
        <f t="shared" si="0"/>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25</v>
      </c>
      <c r="D49" s="15" t="s">
        <v>4</v>
      </c>
      <c r="E49" s="17"/>
      <c r="F49" s="42">
        <v>45992</v>
      </c>
      <c r="G49" s="43">
        <v>45992</v>
      </c>
      <c r="H49" s="77">
        <f t="shared" si="0"/>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19</v>
      </c>
      <c r="D50" s="69"/>
      <c r="E50" s="70"/>
      <c r="F50" s="71">
        <f>MIN(F51:F63)</f>
        <v>45978</v>
      </c>
      <c r="G50" s="72">
        <f>MAX(G51:G63)</f>
        <v>45999</v>
      </c>
      <c r="H50" s="74">
        <f t="shared" si="0"/>
        <v>22</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33" customHeight="1" outlineLevel="1" x14ac:dyDescent="0.15">
      <c r="A51" s="8"/>
      <c r="B51" s="2"/>
      <c r="C51" s="14" t="s">
        <v>33</v>
      </c>
      <c r="D51" s="3" t="s">
        <v>0</v>
      </c>
      <c r="E51" s="13" t="s">
        <v>32</v>
      </c>
      <c r="F51" s="40">
        <v>45978</v>
      </c>
      <c r="G51" s="40">
        <v>45978</v>
      </c>
      <c r="H51" s="33">
        <f t="shared" si="0"/>
        <v>1</v>
      </c>
      <c r="I51" s="78" t="s">
        <v>36</v>
      </c>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t="s">
        <v>49</v>
      </c>
      <c r="D52" s="3" t="s">
        <v>0</v>
      </c>
      <c r="E52" s="13" t="s">
        <v>43</v>
      </c>
      <c r="F52" s="40">
        <v>45992</v>
      </c>
      <c r="G52" s="40">
        <v>45991</v>
      </c>
      <c r="H52" s="33">
        <v>1</v>
      </c>
      <c r="I52" s="2">
        <v>66</v>
      </c>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t="s">
        <v>50</v>
      </c>
      <c r="D53" s="3" t="s">
        <v>39</v>
      </c>
      <c r="E53" s="13" t="s">
        <v>44</v>
      </c>
      <c r="F53" s="40"/>
      <c r="G53" s="40">
        <v>45990</v>
      </c>
      <c r="H53" s="33"/>
      <c r="I53" s="2" t="s">
        <v>40</v>
      </c>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t="s">
        <v>51</v>
      </c>
      <c r="D54" s="3" t="s">
        <v>39</v>
      </c>
      <c r="E54" s="13" t="s">
        <v>45</v>
      </c>
      <c r="F54" s="40">
        <v>45991</v>
      </c>
      <c r="G54" s="40">
        <v>45989</v>
      </c>
      <c r="H54" s="33">
        <v>2</v>
      </c>
      <c r="I54" s="2" t="s">
        <v>41</v>
      </c>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t="s">
        <v>52</v>
      </c>
      <c r="D55" s="3" t="s">
        <v>39</v>
      </c>
      <c r="E55" s="13" t="s">
        <v>46</v>
      </c>
      <c r="F55" s="40">
        <v>45988</v>
      </c>
      <c r="G55" s="40">
        <v>45989</v>
      </c>
      <c r="H55" s="33">
        <v>1</v>
      </c>
      <c r="I55" s="2">
        <v>63</v>
      </c>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79" t="s">
        <v>53</v>
      </c>
      <c r="D56" s="3" t="s">
        <v>39</v>
      </c>
      <c r="E56" s="13" t="s">
        <v>47</v>
      </c>
      <c r="F56" s="40">
        <v>45988</v>
      </c>
      <c r="G56" s="40">
        <v>45990</v>
      </c>
      <c r="H56" s="33">
        <v>2</v>
      </c>
      <c r="I56" s="2">
        <v>64</v>
      </c>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t="s">
        <v>54</v>
      </c>
      <c r="D57" s="3" t="s">
        <v>39</v>
      </c>
      <c r="E57" s="13" t="s">
        <v>48</v>
      </c>
      <c r="F57" s="40">
        <v>45987</v>
      </c>
      <c r="G57" s="40">
        <v>45988</v>
      </c>
      <c r="H57" s="33">
        <v>1</v>
      </c>
      <c r="I57" s="2">
        <v>63</v>
      </c>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t="s">
        <v>55</v>
      </c>
      <c r="D58" s="3" t="s">
        <v>39</v>
      </c>
      <c r="E58" s="13" t="s">
        <v>58</v>
      </c>
      <c r="F58" s="40">
        <v>45986</v>
      </c>
      <c r="G58" s="40">
        <v>45987</v>
      </c>
      <c r="H58" s="33">
        <v>1</v>
      </c>
      <c r="I58" s="2">
        <v>60</v>
      </c>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2">
      <c r="A59" s="8"/>
      <c r="B59" s="2"/>
      <c r="C59" s="14" t="s">
        <v>56</v>
      </c>
      <c r="D59" s="3" t="s">
        <v>39</v>
      </c>
      <c r="E59" t="s">
        <v>58</v>
      </c>
      <c r="F59" s="40">
        <v>45986</v>
      </c>
      <c r="G59" s="40">
        <v>45989</v>
      </c>
      <c r="H59" s="33">
        <v>3</v>
      </c>
      <c r="I59" s="2">
        <v>69</v>
      </c>
      <c r="J59" s="8"/>
      <c r="K59" s="1"/>
      <c r="L59" s="8"/>
      <c r="M59" s="8"/>
      <c r="N59" s="8"/>
      <c r="O59" s="8"/>
      <c r="P59" s="8"/>
      <c r="Q59" s="8"/>
      <c r="R59" s="8"/>
      <c r="S59" s="8"/>
      <c r="T59" s="8"/>
      <c r="U59" s="8"/>
      <c r="V59" s="8"/>
      <c r="W59" s="44" t="s">
        <v>24</v>
      </c>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t="s">
        <v>57</v>
      </c>
      <c r="D60" s="3" t="s">
        <v>39</v>
      </c>
      <c r="E60" s="13" t="s">
        <v>59</v>
      </c>
      <c r="F60" s="40">
        <v>45983</v>
      </c>
      <c r="G60" s="40">
        <v>45984</v>
      </c>
      <c r="H60" s="33">
        <v>1</v>
      </c>
      <c r="I60" s="2">
        <v>59</v>
      </c>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t="s">
        <v>42</v>
      </c>
      <c r="D61" s="3" t="s">
        <v>39</v>
      </c>
      <c r="E61" s="13" t="s">
        <v>60</v>
      </c>
      <c r="F61" s="40">
        <v>45983</v>
      </c>
      <c r="G61" s="40">
        <v>45984</v>
      </c>
      <c r="H61" s="33">
        <v>1</v>
      </c>
      <c r="I61" s="2">
        <v>62</v>
      </c>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t="s">
        <v>26</v>
      </c>
      <c r="D62" s="3" t="s">
        <v>4</v>
      </c>
      <c r="E62" s="13"/>
      <c r="F62" s="40">
        <v>45983</v>
      </c>
      <c r="G62" s="40">
        <v>45999</v>
      </c>
      <c r="H62" s="33"/>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t="s">
        <v>25</v>
      </c>
      <c r="D63" s="15" t="s">
        <v>4</v>
      </c>
      <c r="E63" s="17"/>
      <c r="F63" s="42">
        <v>45992</v>
      </c>
      <c r="G63" s="43">
        <v>45992</v>
      </c>
      <c r="H63" s="33">
        <f t="shared" ref="H63" si="1">IF(OR(F63=0, ISBLANK(F63)),0,G63-F63+1)</f>
        <v>1</v>
      </c>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37</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Blizzards</vt:lpstr>
      <vt:lpstr>-Disclaimer-</vt:lpstr>
      <vt:lpstr>Blizzards!Print_Area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Andrea Edwards</cp:lastModifiedBy>
  <dcterms:created xsi:type="dcterms:W3CDTF">2015-02-24T20:54:23Z</dcterms:created>
  <dcterms:modified xsi:type="dcterms:W3CDTF">2025-12-02T17:28:50Z</dcterms:modified>
</cp:coreProperties>
</file>